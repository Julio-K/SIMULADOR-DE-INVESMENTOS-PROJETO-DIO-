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_temp\cursos\santander-academy\"/>
    </mc:Choice>
  </mc:AlternateContent>
  <bookViews>
    <workbookView xWindow="-105" yWindow="-105" windowWidth="23250" windowHeight="12570"/>
  </bookViews>
  <sheets>
    <sheet name="APP" sheetId="1" r:id="rId1"/>
    <sheet name="DADOS" sheetId="2" state="hidden" r:id="rId2"/>
  </sheets>
  <definedNames>
    <definedName name="aporte">APP!$D$19</definedName>
    <definedName name="dividendos">APP!$D$23</definedName>
    <definedName name="patrimonio">APP!$D$22</definedName>
    <definedName name="perfil">APP!$G$14</definedName>
    <definedName name="qnd_anos">APP!$D$20</definedName>
    <definedName name="RENDIMENTO">APP!$D$15</definedName>
    <definedName name="rendimento_carteira">APP!$D$15</definedName>
    <definedName name="SALARIO">APP!$D$14</definedName>
    <definedName name="taxa_mensal">APP!$D$21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1" l="1"/>
  <c r="G21" i="1"/>
  <c r="G22" i="1"/>
  <c r="G23" i="1"/>
  <c r="G24" i="1"/>
  <c r="G25" i="1"/>
  <c r="G20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C27" i="1"/>
  <c r="D27" i="1" s="1"/>
  <c r="C28" i="1"/>
  <c r="D28" i="1" s="1"/>
  <c r="C29" i="1"/>
  <c r="D29" i="1" s="1"/>
  <c r="C30" i="1"/>
  <c r="D30" i="1" s="1"/>
  <c r="C26" i="1"/>
  <c r="D26" i="1" s="1"/>
  <c r="D22" i="1"/>
  <c r="D23" i="1" s="1"/>
  <c r="H20" i="1" l="1"/>
  <c r="H25" i="1"/>
  <c r="H22" i="1"/>
  <c r="H24" i="1"/>
  <c r="H23" i="1"/>
  <c r="H21" i="1"/>
  <c r="D16" i="1" l="1"/>
</calcChain>
</file>

<file path=xl/sharedStrings.xml><?xml version="1.0" encoding="utf-8"?>
<sst xmlns="http://schemas.openxmlformats.org/spreadsheetml/2006/main" count="71" uniqueCount="37">
  <si>
    <t xml:space="preserve">DADOS PARA INVESTIMENTOS </t>
  </si>
  <si>
    <t xml:space="preserve">SALARIO </t>
  </si>
  <si>
    <t>SUGESTÃO DE INVESTIMENTO (30%)</t>
  </si>
  <si>
    <t>RENDIMENTO DE CARTEIRA</t>
  </si>
  <si>
    <t>Patrimônio acumulado final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</si>
  <si>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</si>
  <si>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</si>
  <si>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</si>
  <si>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</si>
  <si>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</si>
  <si>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</si>
  <si>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</si>
  <si>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</si>
  <si>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</si>
  <si>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INVESTIMENTO MENSAL DESEJADO</t>
  </si>
  <si>
    <t>DIVIDENDOS</t>
  </si>
  <si>
    <t>CONSERVADOR</t>
  </si>
  <si>
    <t>PERFIL</t>
  </si>
  <si>
    <t>%</t>
  </si>
  <si>
    <t>Conservador</t>
  </si>
  <si>
    <t>Moderado</t>
  </si>
  <si>
    <t>Agressivo</t>
  </si>
  <si>
    <t>CHAVE</t>
  </si>
  <si>
    <t xml:space="preserve">CENARIOS FUTUROS </t>
  </si>
  <si>
    <t xml:space="preserve">INFORMAÇOES COMPLEMENTARES  </t>
  </si>
  <si>
    <t xml:space="preserve">RECOMENDAÇAO DE DISTRIBUIÇAO DE INVESTIMENTO </t>
  </si>
  <si>
    <t>Quanto deseja investir por mês?</t>
  </si>
  <si>
    <t>Por quantos anos?</t>
  </si>
  <si>
    <t>Qual a taxa de rendimento mensal?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</si>
  <si>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</si>
  <si>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</si>
  <si>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</si>
  <si>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</si>
  <si>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</si>
  <si>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</si>
  <si>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 xml:space="preserve">Qual seu perfil de investidor ? </t>
  </si>
  <si>
    <t xml:space="preserve">Valor investido por mês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</si>
</sst>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w Cen MT Condensed"/>
      <family val="2"/>
    </font>
    <font>
      <b/>
      <sz val="16"/>
      <color theme="0"/>
      <name val="Tw Cen MT Condensed"/>
      <family val="2"/>
    </font>
    <font>
      <b/>
      <sz val="11"/>
      <color rgb="FF22360E"/>
      <name val="Tw Cen MT Condensed"/>
      <family val="2"/>
    </font>
    <font>
      <b/>
      <sz val="9"/>
      <color theme="1"/>
      <name val="Tw Cen MT Condensed"/>
      <family val="2"/>
    </font>
    <font>
      <b/>
      <sz val="10"/>
      <color theme="0"/>
      <name val="Tw Cen MT Condensed"/>
      <family val="2"/>
    </font>
    <font>
      <b/>
      <sz val="16"/>
      <name val="Tw Cen MT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3D6739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3D3D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theme="0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5" fillId="5" borderId="19" xfId="0" applyNumberFormat="1" applyFont="1" applyFill="1" applyBorder="1" applyAlignment="1">
      <alignment horizontal="left" vertical="center"/>
    </xf>
    <xf numFmtId="164" fontId="5" fillId="5" borderId="20" xfId="0" applyNumberFormat="1" applyFont="1" applyFill="1" applyBorder="1" applyAlignment="1">
      <alignment horizontal="left" vertical="center"/>
    </xf>
    <xf numFmtId="10" fontId="5" fillId="5" borderId="19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9" fontId="5" fillId="6" borderId="12" xfId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2" xfId="2" applyFont="1" applyFill="1" applyBorder="1" applyAlignment="1">
      <alignment horizontal="left" vertical="center"/>
    </xf>
    <xf numFmtId="0" fontId="8" fillId="0" borderId="0" xfId="2" applyFont="1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9" fontId="5" fillId="6" borderId="13" xfId="1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left" vertical="center"/>
    </xf>
    <xf numFmtId="10" fontId="5" fillId="6" borderId="21" xfId="0" applyNumberFormat="1" applyFont="1" applyFill="1" applyBorder="1" applyAlignment="1">
      <alignment horizontal="left" vertical="center"/>
    </xf>
    <xf numFmtId="164" fontId="5" fillId="6" borderId="22" xfId="0" applyNumberFormat="1" applyFont="1" applyFill="1" applyBorder="1" applyAlignment="1">
      <alignment horizontal="left" vertical="center"/>
    </xf>
    <xf numFmtId="8" fontId="5" fillId="6" borderId="25" xfId="0" applyNumberFormat="1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left" vertical="center"/>
    </xf>
    <xf numFmtId="0" fontId="5" fillId="6" borderId="29" xfId="0" applyFont="1" applyFill="1" applyBorder="1" applyAlignment="1">
      <alignment horizontal="center" vertical="center"/>
    </xf>
    <xf numFmtId="8" fontId="5" fillId="6" borderId="30" xfId="0" applyNumberFormat="1" applyFont="1" applyFill="1" applyBorder="1" applyAlignment="1">
      <alignment horizontal="left" vertical="center"/>
    </xf>
    <xf numFmtId="8" fontId="5" fillId="6" borderId="31" xfId="0" applyNumberFormat="1" applyFont="1" applyFill="1" applyBorder="1" applyAlignment="1">
      <alignment horizontal="left" vertical="center"/>
    </xf>
    <xf numFmtId="0" fontId="5" fillId="6" borderId="32" xfId="0" applyFont="1" applyFill="1" applyBorder="1" applyAlignment="1">
      <alignment horizontal="center" vertical="center"/>
    </xf>
    <xf numFmtId="8" fontId="5" fillId="6" borderId="33" xfId="0" applyNumberFormat="1" applyFont="1" applyFill="1" applyBorder="1" applyAlignment="1">
      <alignment horizontal="left" vertical="center"/>
    </xf>
    <xf numFmtId="8" fontId="5" fillId="6" borderId="34" xfId="0" applyNumberFormat="1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8" fontId="5" fillId="6" borderId="27" xfId="0" applyNumberFormat="1" applyFont="1" applyFill="1" applyBorder="1" applyAlignment="1">
      <alignment horizontal="left" vertical="center"/>
    </xf>
    <xf numFmtId="8" fontId="5" fillId="6" borderId="28" xfId="0" applyNumberFormat="1" applyFont="1" applyFill="1" applyBorder="1" applyAlignment="1">
      <alignment horizontal="left" vertical="center"/>
    </xf>
    <xf numFmtId="164" fontId="5" fillId="6" borderId="37" xfId="0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5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</cellXfs>
  <cellStyles count="4">
    <cellStyle name="Ênfase6" xfId="2" builtinId="49"/>
    <cellStyle name="Moeda 2" xfId="3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3D3D3"/>
      <color rgb="FFFDFDFD"/>
      <color rgb="FF22360E"/>
      <color rgb="FF3D6739"/>
      <color rgb="FF388643"/>
      <color rgb="FF4678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APP!$G$18:$G$19</c:f>
              <c:strCache>
                <c:ptCount val="2"/>
                <c:pt idx="0">
                  <c:v>RECOMENDAÇAO DE DISTRIBUIÇAO DE INVESTIMENTO </c:v>
                </c:pt>
                <c:pt idx="1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E-4875-94CA-543751038D0F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E-4875-94CA-543751038D0F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E-4875-94CA-543751038D0F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E-4875-94CA-543751038D0F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CE-4875-94CA-543751038D0F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CE-4875-94CA-543751038D0F}"/>
              </c:ext>
            </c:extLst>
          </c:dPt>
          <c:cat>
            <c:strRef>
              <c:f>APP!$F$20:$F$25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APP!$G$20:$G$25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8-49F5-8C9E-FAC9F3170222}"/>
            </c:ext>
          </c:extLst>
        </c:ser>
        <c:ser>
          <c:idx val="1"/>
          <c:order val="1"/>
          <c:tx>
            <c:strRef>
              <c:f>APP!$H$18:$H$19</c:f>
              <c:strCache>
                <c:ptCount val="2"/>
                <c:pt idx="0">
                  <c:v>RECOMENDAÇAO DE DISTRIBUIÇAO DE INVESTIMENTO </c:v>
                </c:pt>
                <c:pt idx="1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CE-4875-94CA-543751038D0F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CE-4875-94CA-543751038D0F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CE-4875-94CA-543751038D0F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CE-4875-94CA-543751038D0F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CE-4875-94CA-543751038D0F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CE-4875-94CA-543751038D0F}"/>
              </c:ext>
            </c:extLst>
          </c:dPt>
          <c:cat>
            <c:strRef>
              <c:f>APP!$F$20:$F$25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APP!$H$20:$H$25</c:f>
              <c:numCache>
                <c:formatCode>"R$"\ #,##0.00</c:formatCode>
                <c:ptCount val="6"/>
                <c:pt idx="0">
                  <c:v>90</c:v>
                </c:pt>
                <c:pt idx="1">
                  <c:v>150</c:v>
                </c:pt>
                <c:pt idx="2">
                  <c:v>30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8-49F5-8C9E-FAC9F317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25</xdr:row>
      <xdr:rowOff>57150</xdr:rowOff>
    </xdr:from>
    <xdr:to>
      <xdr:col>7</xdr:col>
      <xdr:colOff>1348740</xdr:colOff>
      <xdr:row>36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1DD5EC-E969-4AB1-9EEF-004F8BDE3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100013</xdr:colOff>
      <xdr:row>10</xdr:row>
      <xdr:rowOff>95250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62" b="36984"/>
        <a:stretch/>
      </xdr:blipFill>
      <xdr:spPr>
        <a:xfrm>
          <a:off x="0" y="0"/>
          <a:ext cx="7958138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showGridLines="0" tabSelected="1" workbookViewId="0">
      <selection activeCell="J21" sqref="J21"/>
    </sheetView>
  </sheetViews>
  <sheetFormatPr defaultRowHeight="15" x14ac:dyDescent="0.25"/>
  <cols>
    <col min="1" max="1" width="1.85546875" style="10" customWidth="1"/>
    <col min="2" max="2" width="18.7109375" style="13" customWidth="1"/>
    <col min="3" max="3" width="13.85546875" style="14" bestFit="1" customWidth="1"/>
    <col min="4" max="4" width="11.28515625" style="14" bestFit="1" customWidth="1"/>
    <col min="5" max="5" width="4" style="13" customWidth="1"/>
    <col min="6" max="6" width="24.140625" style="13" customWidth="1"/>
    <col min="7" max="7" width="19.140625" style="13" customWidth="1"/>
    <col min="8" max="8" width="15.7109375" style="14" customWidth="1"/>
  </cols>
  <sheetData>
    <row r="2" spans="1:8" ht="13.9" customHeight="1" x14ac:dyDescent="0.25"/>
    <row r="5" spans="1:8" ht="6" customHeight="1" x14ac:dyDescent="0.25"/>
    <row r="6" spans="1:8" ht="13.15" customHeight="1" x14ac:dyDescent="0.25"/>
    <row r="7" spans="1:8" hidden="1" x14ac:dyDescent="0.25"/>
    <row r="10" spans="1:8" ht="22.9" customHeight="1" x14ac:dyDescent="0.25"/>
    <row r="11" spans="1:8" s="1" customFormat="1" ht="22.9" customHeight="1" x14ac:dyDescent="0.25">
      <c r="A11" s="10"/>
      <c r="B11" s="13"/>
      <c r="C11" s="14"/>
      <c r="D11" s="14"/>
      <c r="E11" s="13"/>
      <c r="F11" s="13"/>
      <c r="G11" s="13"/>
      <c r="H11" s="14"/>
    </row>
    <row r="12" spans="1:8" s="1" customFormat="1" ht="22.9" customHeight="1" thickBot="1" x14ac:dyDescent="0.3">
      <c r="A12" s="10"/>
      <c r="B12" s="13"/>
      <c r="C12" s="14"/>
      <c r="D12" s="14"/>
      <c r="E12" s="13"/>
      <c r="F12" s="13"/>
      <c r="G12" s="13"/>
      <c r="H12" s="14"/>
    </row>
    <row r="13" spans="1:8" ht="20.25" x14ac:dyDescent="0.25">
      <c r="B13" s="50" t="s">
        <v>0</v>
      </c>
      <c r="C13" s="51"/>
      <c r="D13" s="52"/>
      <c r="F13" s="47" t="s">
        <v>24</v>
      </c>
      <c r="G13" s="49"/>
    </row>
    <row r="14" spans="1:8" x14ac:dyDescent="0.25">
      <c r="B14" s="55" t="s">
        <v>1</v>
      </c>
      <c r="C14" s="56"/>
      <c r="D14" s="15">
        <v>3000</v>
      </c>
      <c r="F14" s="16" t="s">
        <v>35</v>
      </c>
      <c r="G14" s="15" t="s">
        <v>16</v>
      </c>
    </row>
    <row r="15" spans="1:8" ht="15.75" thickBot="1" x14ac:dyDescent="0.3">
      <c r="B15" s="55" t="s">
        <v>3</v>
      </c>
      <c r="C15" s="56"/>
      <c r="D15" s="17">
        <v>0.01</v>
      </c>
      <c r="F15" s="33" t="s">
        <v>36</v>
      </c>
      <c r="G15" s="34">
        <f>aporte</f>
        <v>300</v>
      </c>
    </row>
    <row r="16" spans="1:8" ht="15.75" thickBot="1" x14ac:dyDescent="0.3">
      <c r="B16" s="53" t="s">
        <v>2</v>
      </c>
      <c r="C16" s="54"/>
      <c r="D16" s="46">
        <f>SALARIO*30%</f>
        <v>900</v>
      </c>
      <c r="F16" s="18"/>
      <c r="G16" s="18"/>
    </row>
    <row r="17" spans="1:8" ht="18.600000000000001" customHeight="1" thickBot="1" x14ac:dyDescent="0.3">
      <c r="C17" s="13"/>
    </row>
    <row r="18" spans="1:8" ht="20.25" x14ac:dyDescent="0.25">
      <c r="B18" s="50" t="s">
        <v>14</v>
      </c>
      <c r="C18" s="51"/>
      <c r="D18" s="52"/>
      <c r="F18" s="47" t="s">
        <v>25</v>
      </c>
      <c r="G18" s="48"/>
      <c r="H18" s="49"/>
    </row>
    <row r="19" spans="1:8" x14ac:dyDescent="0.25">
      <c r="B19" s="55" t="s">
        <v>26</v>
      </c>
      <c r="C19" s="56"/>
      <c r="D19" s="15">
        <v>300</v>
      </c>
      <c r="F19" s="19" t="s">
        <v>5</v>
      </c>
      <c r="G19" s="20" t="s">
        <v>12</v>
      </c>
      <c r="H19" s="21" t="s">
        <v>13</v>
      </c>
    </row>
    <row r="20" spans="1:8" x14ac:dyDescent="0.25">
      <c r="B20" s="55" t="s">
        <v>27</v>
      </c>
      <c r="C20" s="56"/>
      <c r="D20" s="22">
        <v>5</v>
      </c>
      <c r="F20" s="23" t="s">
        <v>6</v>
      </c>
      <c r="G20" s="24">
        <f>VLOOKUP(perfil&amp;"-"&amp;F20,DADOS!A:D,4,)</f>
        <v>0.3</v>
      </c>
      <c r="H20" s="25">
        <f>$G$15*G20</f>
        <v>90</v>
      </c>
    </row>
    <row r="21" spans="1:8" x14ac:dyDescent="0.25">
      <c r="B21" s="55" t="s">
        <v>28</v>
      </c>
      <c r="C21" s="56"/>
      <c r="D21" s="17">
        <v>1.38E-2</v>
      </c>
      <c r="F21" s="23" t="s">
        <v>7</v>
      </c>
      <c r="G21" s="24">
        <f>VLOOKUP(perfil&amp;"-"&amp;F21,DADOS!A:D,4,)</f>
        <v>0.5</v>
      </c>
      <c r="H21" s="25">
        <f t="shared" ref="H21:H25" si="0">$G$15*G21</f>
        <v>150</v>
      </c>
    </row>
    <row r="22" spans="1:8" ht="15.75" thickBot="1" x14ac:dyDescent="0.3">
      <c r="B22" s="59" t="s">
        <v>4</v>
      </c>
      <c r="C22" s="60"/>
      <c r="D22" s="35">
        <f>FV(taxa_mensal,qnd_anos*12,aporte*-1)</f>
        <v>27735.138051636932</v>
      </c>
      <c r="F22" s="23" t="s">
        <v>8</v>
      </c>
      <c r="G22" s="24">
        <f>VLOOKUP(perfil&amp;"-"&amp;F22,DADOS!A:D,4,)</f>
        <v>0.1</v>
      </c>
      <c r="H22" s="25">
        <f t="shared" si="0"/>
        <v>30</v>
      </c>
    </row>
    <row r="23" spans="1:8" ht="15.75" thickBot="1" x14ac:dyDescent="0.3">
      <c r="B23" s="57" t="s">
        <v>29</v>
      </c>
      <c r="C23" s="58"/>
      <c r="D23" s="36">
        <f>patrimonio*rendimento_carteira</f>
        <v>277.35138051636932</v>
      </c>
      <c r="F23" s="23" t="s">
        <v>9</v>
      </c>
      <c r="G23" s="24">
        <f>VLOOKUP(perfil&amp;"-"&amp;F23,DADOS!A:D,4,)</f>
        <v>0.1</v>
      </c>
      <c r="H23" s="25">
        <f t="shared" si="0"/>
        <v>30</v>
      </c>
    </row>
    <row r="24" spans="1:8" ht="15.75" thickBot="1" x14ac:dyDescent="0.3">
      <c r="B24" s="26"/>
      <c r="C24" s="27"/>
      <c r="D24" s="27"/>
      <c r="F24" s="23" t="s">
        <v>10</v>
      </c>
      <c r="G24" s="24">
        <f>VLOOKUP(perfil&amp;"-"&amp;F24,DADOS!A:D,4,)</f>
        <v>0</v>
      </c>
      <c r="H24" s="25">
        <f t="shared" si="0"/>
        <v>0</v>
      </c>
    </row>
    <row r="25" spans="1:8" ht="21" thickBot="1" x14ac:dyDescent="0.3">
      <c r="B25" s="47" t="s">
        <v>23</v>
      </c>
      <c r="C25" s="48"/>
      <c r="D25" s="28" t="s">
        <v>15</v>
      </c>
      <c r="E25" s="29"/>
      <c r="F25" s="30" t="s">
        <v>11</v>
      </c>
      <c r="G25" s="31">
        <f>VLOOKUP(perfil&amp;"-"&amp;F25,DADOS!A:D,4,)</f>
        <v>0</v>
      </c>
      <c r="H25" s="32">
        <f t="shared" si="0"/>
        <v>0</v>
      </c>
    </row>
    <row r="26" spans="1:8" ht="15.75" thickBot="1" x14ac:dyDescent="0.3">
      <c r="A26" s="10">
        <v>2</v>
      </c>
      <c r="B26" s="37" t="s">
        <v>30</v>
      </c>
      <c r="C26" s="38">
        <f>FV(taxa_mensal,A26*12,aporte*-1)</f>
        <v>8467.136336592057</v>
      </c>
      <c r="D26" s="39">
        <f>C26*RENDIMENTO</f>
        <v>84.67136336592057</v>
      </c>
    </row>
    <row r="27" spans="1:8" ht="15.75" thickBot="1" x14ac:dyDescent="0.3">
      <c r="A27" s="10">
        <v>5</v>
      </c>
      <c r="B27" s="40" t="s">
        <v>31</v>
      </c>
      <c r="C27" s="41">
        <f>FV(taxa_mensal,A27*12,aporte*-1)</f>
        <v>27735.138051636932</v>
      </c>
      <c r="D27" s="42">
        <f>C27*RENDIMENTO</f>
        <v>277.35138051636932</v>
      </c>
    </row>
    <row r="28" spans="1:8" ht="15.75" thickBot="1" x14ac:dyDescent="0.3">
      <c r="A28" s="10">
        <v>10</v>
      </c>
      <c r="B28" s="40" t="s">
        <v>32</v>
      </c>
      <c r="C28" s="41">
        <f>FV(taxa_mensal,A28*12,aporte*-1)</f>
        <v>90855.21870946839</v>
      </c>
      <c r="D28" s="42">
        <f>C28*RENDIMENTO</f>
        <v>908.55218709468397</v>
      </c>
    </row>
    <row r="29" spans="1:8" ht="15.75" thickBot="1" x14ac:dyDescent="0.3">
      <c r="A29" s="10">
        <v>20</v>
      </c>
      <c r="B29" s="40" t="s">
        <v>33</v>
      </c>
      <c r="C29" s="41">
        <f>FV(taxa_mensal,A29*12,aporte*-1)</f>
        <v>561425.29268922214</v>
      </c>
      <c r="D29" s="42">
        <f>C29*RENDIMENTO</f>
        <v>5614.2529268922217</v>
      </c>
    </row>
    <row r="30" spans="1:8" ht="15.75" thickBot="1" x14ac:dyDescent="0.3">
      <c r="A30" s="10">
        <v>30</v>
      </c>
      <c r="B30" s="43" t="s">
        <v>34</v>
      </c>
      <c r="C30" s="44">
        <f>FV(taxa_mensal,A30*12,aporte*-1)</f>
        <v>2998667.7281887927</v>
      </c>
      <c r="D30" s="45">
        <f>C30*RENDIMENTO</f>
        <v>29986.677281887929</v>
      </c>
    </row>
  </sheetData>
  <mergeCells count="13">
    <mergeCell ref="F18:H18"/>
    <mergeCell ref="F13:G13"/>
    <mergeCell ref="B25:C25"/>
    <mergeCell ref="B13:D13"/>
    <mergeCell ref="B16:C16"/>
    <mergeCell ref="B15:C15"/>
    <mergeCell ref="B14:C14"/>
    <mergeCell ref="B23:C23"/>
    <mergeCell ref="B22:C22"/>
    <mergeCell ref="B21:C21"/>
    <mergeCell ref="B20:C20"/>
    <mergeCell ref="B19:C19"/>
    <mergeCell ref="B18:D18"/>
  </mergeCells>
  <dataValidations count="1">
    <dataValidation type="list" allowBlank="1" showInputMessage="1" showErrorMessage="1" sqref="G14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A2" sqref="A2:A19"/>
    </sheetView>
  </sheetViews>
  <sheetFormatPr defaultRowHeight="15" x14ac:dyDescent="0.25"/>
  <cols>
    <col min="1" max="1" width="29.28515625" style="1" bestFit="1" customWidth="1"/>
    <col min="2" max="2" width="11.28515625" bestFit="1" customWidth="1"/>
    <col min="3" max="3" width="18" bestFit="1" customWidth="1"/>
    <col min="4" max="4" width="4.42578125" bestFit="1" customWidth="1"/>
  </cols>
  <sheetData>
    <row r="1" spans="1:4" x14ac:dyDescent="0.25">
      <c r="A1" s="7" t="s">
        <v>22</v>
      </c>
      <c r="B1" s="7" t="s">
        <v>17</v>
      </c>
      <c r="C1" s="8" t="s">
        <v>5</v>
      </c>
      <c r="D1" s="8" t="s">
        <v>18</v>
      </c>
    </row>
    <row r="2" spans="1:4" x14ac:dyDescent="0.25">
      <c r="A2" s="1" t="str">
        <f>B2&amp;"-"&amp;C2</f>
        <v>Conservador-PAPEL</v>
      </c>
      <c r="B2" s="1" t="s">
        <v>19</v>
      </c>
      <c r="C2" s="2" t="s">
        <v>6</v>
      </c>
      <c r="D2" s="3">
        <v>0.3</v>
      </c>
    </row>
    <row r="3" spans="1:4" x14ac:dyDescent="0.25">
      <c r="A3" s="1" t="str">
        <f t="shared" ref="A3:A19" si="0">B3&amp;"-"&amp;C3</f>
        <v>Conservador-TIJOLO</v>
      </c>
      <c r="B3" s="1" t="s">
        <v>19</v>
      </c>
      <c r="C3" s="2" t="s">
        <v>7</v>
      </c>
      <c r="D3" s="3">
        <v>0.5</v>
      </c>
    </row>
    <row r="4" spans="1:4" x14ac:dyDescent="0.25">
      <c r="A4" s="1" t="str">
        <f t="shared" si="0"/>
        <v>Conservador-HÍBRIDOS</v>
      </c>
      <c r="B4" s="1" t="s">
        <v>19</v>
      </c>
      <c r="C4" s="2" t="s">
        <v>8</v>
      </c>
      <c r="D4" s="3">
        <v>0.1</v>
      </c>
    </row>
    <row r="5" spans="1:4" x14ac:dyDescent="0.25">
      <c r="A5" s="1" t="str">
        <f t="shared" si="0"/>
        <v>Conservador-FOFs</v>
      </c>
      <c r="B5" s="1" t="s">
        <v>19</v>
      </c>
      <c r="C5" s="2" t="s">
        <v>9</v>
      </c>
      <c r="D5" s="3">
        <v>0.1</v>
      </c>
    </row>
    <row r="6" spans="1:4" x14ac:dyDescent="0.25">
      <c r="A6" s="1" t="str">
        <f t="shared" si="0"/>
        <v>Conservador-DESENVOLVIMENTO</v>
      </c>
      <c r="B6" s="1" t="s">
        <v>19</v>
      </c>
      <c r="C6" s="2" t="s">
        <v>10</v>
      </c>
      <c r="D6" s="3">
        <v>0</v>
      </c>
    </row>
    <row r="7" spans="1:4" ht="15.75" thickBot="1" x14ac:dyDescent="0.3">
      <c r="A7" s="1" t="str">
        <f t="shared" si="0"/>
        <v>Conservador-HOTELARIAS</v>
      </c>
      <c r="B7" s="4" t="s">
        <v>19</v>
      </c>
      <c r="C7" s="5" t="s">
        <v>11</v>
      </c>
      <c r="D7" s="6">
        <v>0</v>
      </c>
    </row>
    <row r="8" spans="1:4" x14ac:dyDescent="0.25">
      <c r="A8" s="1" t="str">
        <f t="shared" si="0"/>
        <v>Moderado-PAPEL</v>
      </c>
      <c r="B8" s="1" t="s">
        <v>20</v>
      </c>
      <c r="C8" s="2" t="s">
        <v>6</v>
      </c>
      <c r="D8" s="3">
        <v>0.32</v>
      </c>
    </row>
    <row r="9" spans="1:4" x14ac:dyDescent="0.25">
      <c r="A9" s="1" t="str">
        <f t="shared" si="0"/>
        <v>Moderado-TIJOLO</v>
      </c>
      <c r="B9" s="9" t="s">
        <v>20</v>
      </c>
      <c r="C9" s="11" t="s">
        <v>7</v>
      </c>
      <c r="D9" s="12">
        <v>0.35</v>
      </c>
    </row>
    <row r="10" spans="1:4" x14ac:dyDescent="0.25">
      <c r="A10" s="1" t="str">
        <f t="shared" si="0"/>
        <v>Moderado-HÍBRIDOS</v>
      </c>
      <c r="B10" s="1" t="s">
        <v>20</v>
      </c>
      <c r="C10" s="2" t="s">
        <v>8</v>
      </c>
      <c r="D10" s="3">
        <v>0.08</v>
      </c>
    </row>
    <row r="11" spans="1:4" x14ac:dyDescent="0.25">
      <c r="A11" s="1" t="str">
        <f t="shared" si="0"/>
        <v>Moderado-FOFs</v>
      </c>
      <c r="B11" s="1" t="s">
        <v>20</v>
      </c>
      <c r="C11" s="2" t="s">
        <v>9</v>
      </c>
      <c r="D11" s="3">
        <v>0.05</v>
      </c>
    </row>
    <row r="12" spans="1:4" x14ac:dyDescent="0.25">
      <c r="A12" s="1" t="str">
        <f t="shared" si="0"/>
        <v>Moderado-DESENVOLVIMENTO</v>
      </c>
      <c r="B12" s="1" t="s">
        <v>20</v>
      </c>
      <c r="C12" s="2" t="s">
        <v>10</v>
      </c>
      <c r="D12" s="3">
        <v>0.1</v>
      </c>
    </row>
    <row r="13" spans="1:4" ht="15.75" thickBot="1" x14ac:dyDescent="0.3">
      <c r="A13" s="1" t="str">
        <f t="shared" si="0"/>
        <v>Moderado-HOTELARIAS</v>
      </c>
      <c r="B13" s="4" t="s">
        <v>20</v>
      </c>
      <c r="C13" s="5" t="s">
        <v>11</v>
      </c>
      <c r="D13" s="6">
        <v>0.1</v>
      </c>
    </row>
    <row r="14" spans="1:4" x14ac:dyDescent="0.25">
      <c r="A14" s="1" t="str">
        <f t="shared" si="0"/>
        <v>Agressivo-PAPEL</v>
      </c>
      <c r="B14" s="1" t="s">
        <v>21</v>
      </c>
      <c r="C14" s="2" t="s">
        <v>6</v>
      </c>
      <c r="D14" s="3">
        <v>0.5</v>
      </c>
    </row>
    <row r="15" spans="1:4" x14ac:dyDescent="0.25">
      <c r="A15" s="1" t="str">
        <f t="shared" si="0"/>
        <v>Agressivo-TIJOLO</v>
      </c>
      <c r="B15" s="1" t="s">
        <v>21</v>
      </c>
      <c r="C15" s="2" t="s">
        <v>7</v>
      </c>
      <c r="D15" s="3">
        <v>0.1</v>
      </c>
    </row>
    <row r="16" spans="1:4" x14ac:dyDescent="0.25">
      <c r="A16" s="1" t="str">
        <f t="shared" si="0"/>
        <v>Agressivo-HÍBRIDOS</v>
      </c>
      <c r="B16" s="1" t="s">
        <v>21</v>
      </c>
      <c r="C16" s="2" t="s">
        <v>8</v>
      </c>
      <c r="D16" s="3">
        <v>0.05</v>
      </c>
    </row>
    <row r="17" spans="1:4" x14ac:dyDescent="0.25">
      <c r="A17" s="1" t="str">
        <f t="shared" si="0"/>
        <v>Agressivo-FOFs</v>
      </c>
      <c r="B17" s="1" t="s">
        <v>21</v>
      </c>
      <c r="C17" s="2" t="s">
        <v>9</v>
      </c>
      <c r="D17" s="3">
        <v>0.05</v>
      </c>
    </row>
    <row r="18" spans="1:4" x14ac:dyDescent="0.25">
      <c r="A18" s="1" t="str">
        <f t="shared" si="0"/>
        <v>Agressivo-DESENVOLVIMENTO</v>
      </c>
      <c r="B18" s="1" t="s">
        <v>21</v>
      </c>
      <c r="C18" s="2" t="s">
        <v>10</v>
      </c>
      <c r="D18" s="3">
        <v>0.2</v>
      </c>
    </row>
    <row r="19" spans="1:4" x14ac:dyDescent="0.25">
      <c r="A19" s="1" t="str">
        <f t="shared" si="0"/>
        <v>Agressivo-HOTELARIAS</v>
      </c>
      <c r="B19" s="1" t="s">
        <v>21</v>
      </c>
      <c r="C19" s="2" t="s">
        <v>11</v>
      </c>
      <c r="D19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</vt:lpstr>
      <vt:lpstr>DADOS</vt:lpstr>
      <vt:lpstr>aporte</vt:lpstr>
      <vt:lpstr>dividendos</vt:lpstr>
      <vt:lpstr>patrimonio</vt:lpstr>
      <vt:lpstr>perfil</vt:lpstr>
      <vt:lpstr>qnd_anos</vt:lpstr>
      <vt:lpstr>RENDIMENTO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K</dc:creator>
  <cp:lastModifiedBy>jkato</cp:lastModifiedBy>
  <dcterms:created xsi:type="dcterms:W3CDTF">2025-06-14T19:25:24Z</dcterms:created>
  <dcterms:modified xsi:type="dcterms:W3CDTF">2025-12-25T20:55:43Z</dcterms:modified>
</cp:coreProperties>
</file>